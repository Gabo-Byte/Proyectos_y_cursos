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escargas\sheets\"/>
    </mc:Choice>
  </mc:AlternateContent>
  <xr:revisionPtr revIDLastSave="0" documentId="13_ncr:1_{8A869931-597D-40AF-AE52-F55177263A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alidacion de 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8" i="1"/>
  <c r="G12" i="1"/>
  <c r="G13" i="1"/>
  <c r="E6" i="1"/>
  <c r="E7" i="1"/>
  <c r="G7" i="1" s="1"/>
  <c r="E8" i="1"/>
  <c r="E9" i="1"/>
  <c r="G9" i="1" s="1"/>
  <c r="E10" i="1"/>
  <c r="G10" i="1" s="1"/>
  <c r="E11" i="1"/>
  <c r="G11" i="1" s="1"/>
  <c r="E12" i="1"/>
  <c r="E13" i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5" i="1"/>
  <c r="G5" i="1" s="1"/>
</calcChain>
</file>

<file path=xl/sharedStrings.xml><?xml version="1.0" encoding="utf-8"?>
<sst xmlns="http://schemas.openxmlformats.org/spreadsheetml/2006/main" count="56" uniqueCount="32">
  <si>
    <t>BASE DE DATOS CLIENTES</t>
  </si>
  <si>
    <t>CEDULA</t>
  </si>
  <si>
    <t>SEXO</t>
  </si>
  <si>
    <t>CARGO</t>
  </si>
  <si>
    <t>SUELDO BASICO</t>
  </si>
  <si>
    <t>TOTAL SUEDO</t>
  </si>
  <si>
    <t>NOMBRES Y APELLIDOS</t>
  </si>
  <si>
    <t>DIAS TRAB.</t>
  </si>
  <si>
    <t>MASCULINO</t>
  </si>
  <si>
    <t>FEMENINO</t>
  </si>
  <si>
    <t>SECRETARIA/O</t>
  </si>
  <si>
    <t>Dostin Hurtado</t>
  </si>
  <si>
    <t>Sandy Olivera</t>
  </si>
  <si>
    <t>Oscar Hurtado</t>
  </si>
  <si>
    <t>Tatiana aya</t>
  </si>
  <si>
    <t>Luis Ramirez</t>
  </si>
  <si>
    <t>Carlos Cedeño</t>
  </si>
  <si>
    <t>Omar Corredor</t>
  </si>
  <si>
    <t>Carlos Andres</t>
  </si>
  <si>
    <t>Fuckencio Martinez</t>
  </si>
  <si>
    <t>Edgar Ortiz</t>
  </si>
  <si>
    <t>Alberto Ochoa</t>
  </si>
  <si>
    <t>Alejandra Guzman</t>
  </si>
  <si>
    <t>Jenny Colmenares</t>
  </si>
  <si>
    <t>Nelsy Pico</t>
  </si>
  <si>
    <t>Erika Herrera</t>
  </si>
  <si>
    <t>Trollencio Gimenes</t>
  </si>
  <si>
    <t>INGENIERO</t>
  </si>
  <si>
    <t>ORIENTADOR/A</t>
  </si>
  <si>
    <t>ECONOMISTA</t>
  </si>
  <si>
    <t>ABOGADO/A</t>
  </si>
  <si>
    <t>GERENTE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</si>
</sst>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0" fontId="3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tabSelected="1" workbookViewId="0">
      <selection activeCell="G11" sqref="G11"/>
    </sheetView>
  </sheetViews>
  <sheetFormatPr baseColWidth="10" defaultRowHeight="15" x14ac:dyDescent="0.25"/>
  <cols>
    <col min="1" max="1" width="15.7109375" customWidth="1"/>
    <col min="2" max="2" width="26.140625" customWidth="1"/>
    <col min="3" max="5" width="15.7109375" customWidth="1"/>
    <col min="6" max="6" width="12" customWidth="1"/>
    <col min="7" max="7" width="15.7109375" customWidth="1"/>
  </cols>
  <sheetData>
    <row r="1" spans="1:7" ht="18.75" x14ac:dyDescent="0.3">
      <c r="A1" s="4" t="s">
        <v>0</v>
      </c>
      <c r="B1" s="4"/>
      <c r="C1" s="4"/>
      <c r="D1" s="4"/>
      <c r="E1" s="4"/>
      <c r="F1" s="4"/>
      <c r="G1" s="4"/>
    </row>
    <row r="4" spans="1:7" x14ac:dyDescent="0.25">
      <c r="A4" s="1" t="s">
        <v>1</v>
      </c>
      <c r="B4" s="1" t="s">
        <v>6</v>
      </c>
      <c r="C4" s="1" t="s">
        <v>2</v>
      </c>
      <c r="D4" s="1" t="s">
        <v>3</v>
      </c>
      <c r="E4" s="1" t="s">
        <v>4</v>
      </c>
      <c r="F4" s="1" t="s">
        <v>7</v>
      </c>
      <c r="G4" s="1" t="s">
        <v>5</v>
      </c>
    </row>
    <row r="5" spans="1:7" x14ac:dyDescent="0.25">
      <c r="A5" s="3">
        <v>1121885</v>
      </c>
      <c r="B5" s="2" t="s">
        <v>11</v>
      </c>
      <c r="C5" s="2" t="s">
        <v>8</v>
      </c>
      <c r="D5" s="2" t="s">
        <v>27</v>
      </c>
      <c r="E5" s="3">
        <f>IF(OR(D5="SECRETARIA/O",D5="ECONOMISTA",D5="ABOGADO/A",),1800000,3200000)</f>
        <v>3200000</v>
      </c>
      <c r="F5" s="3">
        <v>30</v>
      </c>
      <c r="G5" s="3">
        <f>(E5/30)*F5</f>
        <v>3200000</v>
      </c>
    </row>
    <row r="6" spans="1:7" x14ac:dyDescent="0.25">
      <c r="A6" s="3">
        <v>1121886</v>
      </c>
      <c r="B6" s="2" t="s">
        <v>12</v>
      </c>
      <c r="C6" s="2" t="s">
        <v>9</v>
      </c>
      <c r="D6" s="2" t="s">
        <v>28</v>
      </c>
      <c r="E6" s="3">
        <f t="shared" ref="E6:E20" si="0">IF(OR(D6="SECRETARIA/O",D6="ECONOMISTA",D6="ABOGADO/A",),1800000,3200000)</f>
        <v>3200000</v>
      </c>
      <c r="F6" s="3">
        <v>18</v>
      </c>
      <c r="G6" s="3">
        <f t="shared" ref="G6:G20" si="1">(E6/30)*F6</f>
        <v>1920000</v>
      </c>
    </row>
    <row r="7" spans="1:7" x14ac:dyDescent="0.25">
      <c r="A7" s="3">
        <v>1121887</v>
      </c>
      <c r="B7" s="2" t="s">
        <v>13</v>
      </c>
      <c r="C7" s="2" t="s">
        <v>8</v>
      </c>
      <c r="D7" s="2" t="s">
        <v>28</v>
      </c>
      <c r="E7" s="3">
        <f t="shared" si="0"/>
        <v>3200000</v>
      </c>
      <c r="F7" s="3">
        <v>19</v>
      </c>
      <c r="G7" s="3">
        <f t="shared" si="1"/>
        <v>2026666.6666666667</v>
      </c>
    </row>
    <row r="8" spans="1:7" x14ac:dyDescent="0.25">
      <c r="A8" s="3">
        <v>1121888</v>
      </c>
      <c r="B8" s="2" t="s">
        <v>14</v>
      </c>
      <c r="C8" s="2" t="s">
        <v>9</v>
      </c>
      <c r="D8" s="2" t="s">
        <v>10</v>
      </c>
      <c r="E8" s="3">
        <f t="shared" si="0"/>
        <v>1800000</v>
      </c>
      <c r="F8" s="3">
        <v>28</v>
      </c>
      <c r="G8" s="3">
        <f t="shared" si="1"/>
        <v>1680000</v>
      </c>
    </row>
    <row r="9" spans="1:7" x14ac:dyDescent="0.25">
      <c r="A9" s="3">
        <v>1121889</v>
      </c>
      <c r="B9" s="2" t="s">
        <v>15</v>
      </c>
      <c r="C9" s="2" t="s">
        <v>8</v>
      </c>
      <c r="D9" s="2" t="s">
        <v>29</v>
      </c>
      <c r="E9" s="3">
        <f t="shared" si="0"/>
        <v>1800000</v>
      </c>
      <c r="F9" s="3">
        <v>15</v>
      </c>
      <c r="G9" s="3">
        <f t="shared" si="1"/>
        <v>900000</v>
      </c>
    </row>
    <row r="10" spans="1:7" x14ac:dyDescent="0.25">
      <c r="A10" s="3">
        <v>1121890</v>
      </c>
      <c r="B10" s="2" t="s">
        <v>16</v>
      </c>
      <c r="C10" s="2" t="s">
        <v>8</v>
      </c>
      <c r="D10" s="2" t="s">
        <v>29</v>
      </c>
      <c r="E10" s="3">
        <f t="shared" si="0"/>
        <v>1800000</v>
      </c>
      <c r="F10" s="3">
        <v>25</v>
      </c>
      <c r="G10" s="3">
        <f t="shared" si="1"/>
        <v>1500000</v>
      </c>
    </row>
    <row r="11" spans="1:7" x14ac:dyDescent="0.25">
      <c r="A11" s="3">
        <v>1121891</v>
      </c>
      <c r="B11" s="2" t="s">
        <v>17</v>
      </c>
      <c r="C11" s="2" t="s">
        <v>8</v>
      </c>
      <c r="D11" s="2" t="s">
        <v>27</v>
      </c>
      <c r="E11" s="3">
        <f t="shared" si="0"/>
        <v>3200000</v>
      </c>
      <c r="F11" s="3">
        <v>10</v>
      </c>
      <c r="G11" s="3">
        <f t="shared" si="1"/>
        <v>1066666.6666666667</v>
      </c>
    </row>
    <row r="12" spans="1:7" x14ac:dyDescent="0.25">
      <c r="A12" s="3">
        <v>1121892</v>
      </c>
      <c r="B12" s="2" t="s">
        <v>18</v>
      </c>
      <c r="C12" s="2" t="s">
        <v>8</v>
      </c>
      <c r="D12" s="2" t="s">
        <v>30</v>
      </c>
      <c r="E12" s="3">
        <f t="shared" si="0"/>
        <v>1800000</v>
      </c>
      <c r="F12" s="3">
        <v>12</v>
      </c>
      <c r="G12" s="3">
        <f t="shared" si="1"/>
        <v>720000</v>
      </c>
    </row>
    <row r="13" spans="1:7" x14ac:dyDescent="0.25">
      <c r="A13" s="3">
        <v>1121893</v>
      </c>
      <c r="B13" s="2" t="s">
        <v>19</v>
      </c>
      <c r="C13" s="2" t="s">
        <v>8</v>
      </c>
      <c r="D13" s="2" t="s">
        <v>30</v>
      </c>
      <c r="E13" s="3">
        <f t="shared" si="0"/>
        <v>1800000</v>
      </c>
      <c r="F13" s="3">
        <v>14</v>
      </c>
      <c r="G13" s="3">
        <f t="shared" si="1"/>
        <v>840000</v>
      </c>
    </row>
    <row r="14" spans="1:7" x14ac:dyDescent="0.25">
      <c r="A14" s="3">
        <v>1121894</v>
      </c>
      <c r="B14" s="2" t="s">
        <v>20</v>
      </c>
      <c r="C14" s="2" t="s">
        <v>8</v>
      </c>
      <c r="D14" s="2" t="s">
        <v>31</v>
      </c>
      <c r="E14" s="3">
        <f t="shared" si="0"/>
        <v>3200000</v>
      </c>
      <c r="F14" s="3">
        <v>16</v>
      </c>
      <c r="G14" s="3">
        <f t="shared" si="1"/>
        <v>1706666.6666666667</v>
      </c>
    </row>
    <row r="15" spans="1:7" x14ac:dyDescent="0.25">
      <c r="A15" s="3">
        <v>1121895</v>
      </c>
      <c r="B15" s="2" t="s">
        <v>21</v>
      </c>
      <c r="C15" s="2" t="s">
        <v>8</v>
      </c>
      <c r="D15" s="2" t="s">
        <v>31</v>
      </c>
      <c r="E15" s="3">
        <f t="shared" si="0"/>
        <v>3200000</v>
      </c>
      <c r="F15" s="3">
        <v>18</v>
      </c>
      <c r="G15" s="3">
        <f t="shared" si="1"/>
        <v>1920000</v>
      </c>
    </row>
    <row r="16" spans="1:7" x14ac:dyDescent="0.25">
      <c r="A16" s="3">
        <v>1121896</v>
      </c>
      <c r="B16" s="2" t="s">
        <v>22</v>
      </c>
      <c r="C16" s="2" t="s">
        <v>9</v>
      </c>
      <c r="D16" s="2" t="s">
        <v>10</v>
      </c>
      <c r="E16" s="3">
        <f t="shared" si="0"/>
        <v>1800000</v>
      </c>
      <c r="F16" s="3">
        <v>20</v>
      </c>
      <c r="G16" s="3">
        <f t="shared" si="1"/>
        <v>1200000</v>
      </c>
    </row>
    <row r="17" spans="1:7" x14ac:dyDescent="0.25">
      <c r="A17" s="3">
        <v>1121897</v>
      </c>
      <c r="B17" s="2" t="s">
        <v>23</v>
      </c>
      <c r="C17" s="2" t="s">
        <v>9</v>
      </c>
      <c r="D17" s="2" t="s">
        <v>10</v>
      </c>
      <c r="E17" s="3">
        <f t="shared" si="0"/>
        <v>1800000</v>
      </c>
      <c r="F17" s="3">
        <v>22</v>
      </c>
      <c r="G17" s="3">
        <f t="shared" si="1"/>
        <v>1320000</v>
      </c>
    </row>
    <row r="18" spans="1:7" x14ac:dyDescent="0.25">
      <c r="A18" s="3">
        <v>1121898</v>
      </c>
      <c r="B18" s="2" t="s">
        <v>24</v>
      </c>
      <c r="C18" s="2" t="s">
        <v>9</v>
      </c>
      <c r="D18" s="2" t="s">
        <v>10</v>
      </c>
      <c r="E18" s="3">
        <f t="shared" si="0"/>
        <v>1800000</v>
      </c>
      <c r="F18" s="3">
        <v>24</v>
      </c>
      <c r="G18" s="3">
        <f t="shared" si="1"/>
        <v>1440000</v>
      </c>
    </row>
    <row r="19" spans="1:7" x14ac:dyDescent="0.25">
      <c r="A19" s="3">
        <v>1121899</v>
      </c>
      <c r="B19" s="2" t="s">
        <v>25</v>
      </c>
      <c r="C19" s="2" t="s">
        <v>9</v>
      </c>
      <c r="D19" s="2" t="s">
        <v>30</v>
      </c>
      <c r="E19" s="3">
        <f t="shared" si="0"/>
        <v>1800000</v>
      </c>
      <c r="F19" s="3">
        <v>26</v>
      </c>
      <c r="G19" s="3">
        <f t="shared" si="1"/>
        <v>1560000</v>
      </c>
    </row>
    <row r="20" spans="1:7" x14ac:dyDescent="0.25">
      <c r="A20" s="3">
        <v>1121900</v>
      </c>
      <c r="B20" s="2" t="s">
        <v>26</v>
      </c>
      <c r="C20" s="2" t="s">
        <v>8</v>
      </c>
      <c r="D20" s="2" t="s">
        <v>27</v>
      </c>
      <c r="E20" s="3">
        <f t="shared" si="0"/>
        <v>3200000</v>
      </c>
      <c r="F20" s="3">
        <v>28</v>
      </c>
      <c r="G20" s="3">
        <f t="shared" si="1"/>
        <v>2986666.666666667</v>
      </c>
    </row>
  </sheetData>
  <mergeCells count="1">
    <mergeCell ref="A1:G1"/>
  </mergeCells>
  <dataValidations count="4">
    <dataValidation type="textLength" allowBlank="1" showInputMessage="1" showErrorMessage="1" sqref="A5:A20" xr:uid="{00000000-0002-0000-0000-000000000000}">
      <formula1>0</formula1>
      <formula2>10</formula2>
    </dataValidation>
    <dataValidation type="list" errorStyle="information" allowBlank="1" showInputMessage="1" showErrorMessage="1" errorTitle="CUIDADO" error="POR FAVOR SOLO ELIGE UN DATO DE LA LISTA." promptTitle="GENERO" prompt="Por favor elige un genero de la lista." sqref="C5:C20" xr:uid="{00000000-0002-0000-0000-000001000000}">
      <formula1>"FEMENINO,MASCULINO,OTRO"</formula1>
    </dataValidation>
    <dataValidation type="decimal" operator="greaterThanOrEqual" allowBlank="1" showInputMessage="1" showErrorMessage="1" sqref="E5:G20" xr:uid="{00000000-0002-0000-0000-000002000000}">
      <formula1>0</formula1>
    </dataValidation>
    <dataValidation type="list" allowBlank="1" showInputMessage="1" showErrorMessage="1" sqref="D5:D20" xr:uid="{00000000-0002-0000-0000-000003000000}">
      <formula1>"GERENTE,SECRETARIA/O,ABOGADO/A,ORIENTADOR/A,ECONOMISTA,INGENIERO"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Validacion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Unidos</dc:creator>
  <cp:lastModifiedBy>Dostin Hurtado</cp:lastModifiedBy>
  <dcterms:created xsi:type="dcterms:W3CDTF">2013-11-11T16:14:00Z</dcterms:created>
  <dcterms:modified xsi:type="dcterms:W3CDTF">2021-07-21T01:14:41Z</dcterms:modified>
</cp:coreProperties>
</file>